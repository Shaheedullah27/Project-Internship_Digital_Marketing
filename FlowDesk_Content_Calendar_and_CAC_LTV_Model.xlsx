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 Calendar" sheetId="1" state="visible" r:id="rId3"/>
    <sheet name="CAC-LTV Mod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<sst xmlns="http://schemas.openxmlformats.org/spreadsheetml/2006/main" count="196" uniqueCount="142">
  <si>
    <t xml:space="preserve">Day</t>
  </si>
  <si>
    <t xml:space="preserve">Date (relative)</t>
  </si>
  <si>
    <t xml:space="preserve">Platform</t>
  </si>
  <si>
    <t xml:space="preserve">Funnel Stage</t>
  </si>
  <si>
    <t xml:space="preserve">Post Copy</t>
  </si>
  <si>
    <t xml:space="preserve">Visual Concept</t>
  </si>
  <si>
    <t xml:space="preserve">Day 1</t>
  </si>
  <si>
    <t xml:space="preserve">LinkedIn</t>
  </si>
  <si>
    <t xml:space="preserve">TOFU</t>
  </si>
  <si>
    <t xml:space="preserve">Is your team still writing status updates by hand? The average manager spends 4-6 hours a week compiling them. There's a better way.</t>
  </si>
  <si>
    <t xml:space="preserve">Stat graphic: clock icon + '4-6 hrs/week' headline</t>
  </si>
  <si>
    <t xml:space="preserve">Day 2</t>
  </si>
  <si>
    <t xml:space="preserve">X</t>
  </si>
  <si>
    <t xml:space="preserve">hot take: your standup meeting is just a status report nobody wanted to write. automate it instead.</t>
  </si>
  <si>
    <t xml:space="preserve">Simple text-on-color quote graphic</t>
  </si>
  <si>
    <t xml:space="preserve">Day 3</t>
  </si>
  <si>
    <t xml:space="preserve">Blog</t>
  </si>
  <si>
    <t xml:space="preserve">Blog: '5 Signs Your Team Has Outgrown Spreadsheet Project Tracking' — a checklist-style post diagnosing common SMB PM pain points.</t>
  </si>
  <si>
    <t xml:space="preserve">Blog header image: messy spreadsheet vs clean dashboard split-screen</t>
  </si>
  <si>
    <t xml:space="preserve">Day 4</t>
  </si>
  <si>
    <t xml:space="preserve">Every scattered Slack thread, email CC, and status spreadsheet is a small tax on your team's time. Multiply that across 50 people. That's the real cost of 'we'll just figure it out.'</t>
  </si>
  <si>
    <t xml:space="preserve">Carousel: 3 slides illustrating scattered tools</t>
  </si>
  <si>
    <t xml:space="preserve">Day 5</t>
  </si>
  <si>
    <t xml:space="preserve">the real MVP of any team is whoever remembers to update the status doc. let's automate that person out of a job (affectionately)</t>
  </si>
  <si>
    <t xml:space="preserve">Meme-style image: 'this is fine' dog format, reworded caption</t>
  </si>
  <si>
    <t xml:space="preserve">Day 6</t>
  </si>
  <si>
    <t xml:space="preserve">MOFU</t>
  </si>
  <si>
    <t xml:space="preserve">Feature spotlight: FlowDesk's AI Status Reports turn your team's task activity into a clean, shareable update — automatically, every week.</t>
  </si>
  <si>
    <t xml:space="preserve">Short product screen-recording GIF of a report generating</t>
  </si>
  <si>
    <t xml:space="preserve">Day 7</t>
  </si>
  <si>
    <t xml:space="preserve">Blog: 'FlowDesk vs Asana vs Monday.com — Which Project Tool Actually Saves You Time?' — feature and pricing comparison table.</t>
  </si>
  <si>
    <t xml:space="preserve">Comparison table graphic, brand colors</t>
  </si>
  <si>
    <t xml:space="preserve">Day 8</t>
  </si>
  <si>
    <t xml:space="preserve">founders: the tool stack you picked at month 1 is not the tool stack that should still be running your team at month 20.</t>
  </si>
  <si>
    <t xml:space="preserve">Text-only tweet, no image</t>
  </si>
  <si>
    <t xml:space="preserve">Day 9</t>
  </si>
  <si>
    <t xml:space="preserve">Operations leaders: what's the one recurring meeting you'd cancel forever if you could? (We have a guess.)</t>
  </si>
  <si>
    <t xml:space="preserve">Poll graphic with 4 options</t>
  </si>
  <si>
    <t xml:space="preserve">Day 10</t>
  </si>
  <si>
    <t xml:space="preserve">Blog: 'How to Cut Your Weekly Status Meeting From 60 Minutes to 10' — practical playbook referencing FlowDesk's reporting feature.</t>
  </si>
  <si>
    <t xml:space="preserve">Before/after calendar graphic</t>
  </si>
  <si>
    <t xml:space="preserve">Day 11</t>
  </si>
  <si>
    <t xml:space="preserve">Customer story: a 40-person agency cut client reporting time by 80% after switching to FlowDesk's shareable dashboards.</t>
  </si>
  <si>
    <t xml:space="preserve">Client logo + quote card</t>
  </si>
  <si>
    <t xml:space="preserve">Day 12</t>
  </si>
  <si>
    <t xml:space="preserve">we asked 50 ops managers what they actually want from a PM tool. #1 answer: 'stop making me build the report.' so we built that.</t>
  </si>
  <si>
    <t xml:space="preserve">Simple bar chart graphic of survey results</t>
  </si>
  <si>
    <t xml:space="preserve">Day 13</t>
  </si>
  <si>
    <t xml:space="preserve">Startup founders don't need more process. They need less chasing. Here's the difference between the two.</t>
  </si>
  <si>
    <t xml:space="preserve">Split-image: chaotic vs calm dashboard</t>
  </si>
  <si>
    <t xml:space="preserve">Day 14</t>
  </si>
  <si>
    <t xml:space="preserve">Blog: 'The Hidden Cost of Status Meetings for Small Teams' — data-driven piece with a simple ROI calculation.</t>
  </si>
  <si>
    <t xml:space="preserve">Infographic: cost-per-meeting breakdown</t>
  </si>
  <si>
    <t xml:space="preserve">Day 15</t>
  </si>
  <si>
    <t xml:space="preserve">day 47 of watching a team debate which spreadsheet tab is 'the real one'</t>
  </si>
  <si>
    <t xml:space="preserve">No image, relatable text post</t>
  </si>
  <si>
    <t xml:space="preserve">Day 16</t>
  </si>
  <si>
    <t xml:space="preserve">See how FlowDesk's Slack integration means task updates post automatically to your team channel — no copy-paste required.</t>
  </si>
  <si>
    <t xml:space="preserve">Screenshot: Slack message from FlowDesk bot</t>
  </si>
  <si>
    <t xml:space="preserve">Day 17</t>
  </si>
  <si>
    <t xml:space="preserve">Blog: 'A Day in the Life With FlowDesk' — walkthrough following a fictional ops manager through her day using the product.</t>
  </si>
  <si>
    <t xml:space="preserve">Illustrated day-timeline graphic</t>
  </si>
  <si>
    <t xml:space="preserve">Day 18</t>
  </si>
  <si>
    <t xml:space="preserve">'it just works' is a low bar until you've used 4 PM tools that didn't. FlowDesk clears it easily.</t>
  </si>
  <si>
    <t xml:space="preserve">Product screenshot, clean UI shot</t>
  </si>
  <si>
    <t xml:space="preserve">Day 19</t>
  </si>
  <si>
    <t xml:space="preserve">BOFU</t>
  </si>
  <si>
    <t xml:space="preserve">Ready to stop chasing updates? Start your free 14-day FlowDesk trial — no credit card required.</t>
  </si>
  <si>
    <t xml:space="preserve">CTA banner graphic with trial offer</t>
  </si>
  <si>
    <t xml:space="preserve">Day 20</t>
  </si>
  <si>
    <t xml:space="preserve">Blog: 'FlowDesk Pricing Explained: Which Plan Fits Your Team?' — pricing breakdown with an ROI framing.</t>
  </si>
  <si>
    <t xml:space="preserve">Pricing table graphic</t>
  </si>
  <si>
    <t xml:space="preserve">Day 21</t>
  </si>
  <si>
    <t xml:space="preserve">Agencies: your clients don't want a status call. They want a link they can check anytime. That's a different product decision than you think.</t>
  </si>
  <si>
    <t xml:space="preserve">Quote card graphic</t>
  </si>
  <si>
    <t xml:space="preserve">Day 22</t>
  </si>
  <si>
    <t xml:space="preserve">client: 'what's the status?' you, for the 4th time this week, opening a new slide: 'great question'</t>
  </si>
  <si>
    <t xml:space="preserve">Meme-style graphic, office humor</t>
  </si>
  <si>
    <t xml:space="preserve">Day 23</t>
  </si>
  <si>
    <t xml:space="preserve">Blog: 'Client Reporting Without the Reporting: How Agencies Use Live Dashboards' — agency-specific use case deep dive.</t>
  </si>
  <si>
    <t xml:space="preserve">Screenshot of client-facing dashboard</t>
  </si>
  <si>
    <t xml:space="preserve">Day 24</t>
  </si>
  <si>
    <t xml:space="preserve">Case study: how Startup Sam's 18-person team replaced three tools (Trello + Slack threads + a status spreadsheet) with FlowDesk alone.</t>
  </si>
  <si>
    <t xml:space="preserve">Before/after '3 tools -&gt; 1' graphic</t>
  </si>
  <si>
    <t xml:space="preserve">Day 25</t>
  </si>
  <si>
    <t xml:space="preserve">if your team's status update lives in someone's head, it's not really documented. free 14-day trial, link in bio.</t>
  </si>
  <si>
    <t xml:space="preserve">Product screenshot with CTA overlay</t>
  </si>
  <si>
    <t xml:space="preserve">Day 26</t>
  </si>
  <si>
    <t xml:space="preserve">The best project management tool is the one your team forgets it's using. That's the actual bar.</t>
  </si>
  <si>
    <t xml:space="preserve">Simple quote card, brand colors</t>
  </si>
  <si>
    <t xml:space="preserve">Day 27</t>
  </si>
  <si>
    <t xml:space="preserve">Blog: 'Async Updates vs Status Meetings: What the Data Says About Team Productivity' — thought-leadership piece with cited research.</t>
  </si>
  <si>
    <t xml:space="preserve">Data chart: async vs sync time cost</t>
  </si>
  <si>
    <t xml:space="preserve">Day 28</t>
  </si>
  <si>
    <t xml:space="preserve">Book a live 15-minute FlowDesk demo this week and we'll build your first project with you, live.</t>
  </si>
  <si>
    <t xml:space="preserve">CTA graphic with calendar icon</t>
  </si>
  <si>
    <t xml:space="preserve">Day 29</t>
  </si>
  <si>
    <t xml:space="preserve">swapped our own team from [old tool] to FlowDesk 6 months ago internally. reporting time: down 70%. no regrets.</t>
  </si>
  <si>
    <t xml:space="preserve">Internal team screenshot / dashboard</t>
  </si>
  <si>
    <t xml:space="preserve">Day 30</t>
  </si>
  <si>
    <t xml:space="preserve">Last call: FlowDesk's 20%-off launch pricing for new teams ends this week. Start your trial today.</t>
  </si>
  <si>
    <t xml:space="preserve">Countdown-style CTA banner</t>
  </si>
  <si>
    <t xml:space="preserve">FlowDesk — 30-Day Campaign CAC vs. LTV Financial Model</t>
  </si>
  <si>
    <t xml:space="preserve">1. Monthly Ad Spend &amp; Estimated Traffic by Channel (30-day campaign)</t>
  </si>
  <si>
    <t xml:space="preserve">Channel</t>
  </si>
  <si>
    <t xml:space="preserve">Monthly Spend ($)</t>
  </si>
  <si>
    <t xml:space="preserve">Cost per Click ($)</t>
  </si>
  <si>
    <t xml:space="preserve">Est. Clicks / Visits (calculated)</t>
  </si>
  <si>
    <t xml:space="preserve">Notes</t>
  </si>
  <si>
    <t xml:space="preserve">LinkedIn Ads</t>
  </si>
  <si>
    <t xml:space="preserve">Sponsored content, ops + agency targeting</t>
  </si>
  <si>
    <t xml:space="preserve">Google Search Ads</t>
  </si>
  <si>
    <t xml:space="preserve">Category + competitor keyword ad groups</t>
  </si>
  <si>
    <t xml:space="preserve">Organic / Content</t>
  </si>
  <si>
    <t xml:space="preserve">-</t>
  </si>
  <si>
    <t xml:space="preserve">Content production cost; visits estimated directly (no CPC)</t>
  </si>
  <si>
    <t xml:space="preserve">Total Monthly Ad + Content Spend</t>
  </si>
  <si>
    <t xml:space="preserve">Total Est. Monthly Website Visitors (all channels)</t>
  </si>
  <si>
    <t xml:space="preserve">2. Conversion Funnel Assumptions</t>
  </si>
  <si>
    <t xml:space="preserve">Total website visitors (linked from Section 1)</t>
  </si>
  <si>
    <t xml:space="preserve">Visitor -&gt; Free Trial Signup conversion rate</t>
  </si>
  <si>
    <t xml:space="preserve">Free Trial -&gt; Paying Customer conversion rate</t>
  </si>
  <si>
    <t xml:space="preserve">New Trial Signups (calculated)</t>
  </si>
  <si>
    <t xml:space="preserve">New Paying Customers (calculated)</t>
  </si>
  <si>
    <t xml:space="preserve">3. Customer Acquisition Cost (CAC)</t>
  </si>
  <si>
    <t xml:space="preserve">Total Sales &amp; Marketing Spend (from Section 1)</t>
  </si>
  <si>
    <t xml:space="preserve">New Paying Customers Acquired (from Section 2)</t>
  </si>
  <si>
    <t xml:space="preserve">CAC = Total Spend / New Customers</t>
  </si>
  <si>
    <t xml:space="preserve">4. Customer Lifetime Value (LTV)</t>
  </si>
  <si>
    <t xml:space="preserve">Average Revenue Per Account, ARPA ($/month)</t>
  </si>
  <si>
    <t xml:space="preserve">Gross Margin (%)</t>
  </si>
  <si>
    <t xml:space="preserve">Average monthly customer churn rate</t>
  </si>
  <si>
    <t xml:space="preserve">Average Customer Lifetime (months) = 1 / churn rate</t>
  </si>
  <si>
    <t xml:space="preserve">LTV = ARPA x Gross Margin x Avg. Lifetime (months)</t>
  </si>
  <si>
    <t xml:space="preserve">5. LTV:CAC Ratio &amp; Payback Period</t>
  </si>
  <si>
    <t xml:space="preserve">LTV : CAC Ratio (target benchmark: 3:1 or higher)</t>
  </si>
  <si>
    <t xml:space="preserve">CAC Payback Period (months) = CAC / (ARPA x Gross Margin)</t>
  </si>
  <si>
    <t xml:space="preserve">Assumption sources</t>
  </si>
  <si>
    <t xml:space="preserve">ARPA, churn, and conversion-rate assumptions are internship-project estimates based on typical SMB SaaS PM-tool benchmarks (industry reports: OpenView SaaS Benchmarks); replace yellow cells with real data once available.</t>
  </si>
  <si>
    <t xml:space="preserve">Legend:</t>
  </si>
  <si>
    <t xml:space="preserve">Yellow fill / blue text = input cell (edit these)</t>
  </si>
  <si>
    <t xml:space="preserve">Black text = calculated formula (do not overwrite)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</si>
</sst>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\$#,##0.00"/>
    <numFmt numFmtId="167" formatCode="#,##0"/>
    <numFmt numFmtId="168" formatCode="0.0%"/>
    <numFmt numFmtId="169" formatCode="0.0"/>
    <numFmt numFmtId="170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color rgb="FF0E7C7B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0E7C7B"/>
        <bgColor rgb="FF00808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60"/>
    <col collapsed="false" customWidth="true" hidden="false" outlineLevel="0" max="6" min="6" style="0" width="4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45" hidden="false" customHeight="true" outlineLevel="0" collapsed="false">
      <c r="A2" s="2" t="n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customFormat="false" ht="45" hidden="false" customHeight="true" outlineLevel="0" collapsed="false">
      <c r="A3" s="3" t="n">
        <v>2</v>
      </c>
      <c r="B3" s="3" t="s">
        <v>11</v>
      </c>
      <c r="C3" s="3" t="s">
        <v>12</v>
      </c>
      <c r="D3" s="3" t="s">
        <v>8</v>
      </c>
      <c r="E3" s="3" t="s">
        <v>13</v>
      </c>
      <c r="F3" s="3" t="s">
        <v>14</v>
      </c>
    </row>
    <row r="4" customFormat="false" ht="45" hidden="false" customHeight="true" outlineLevel="0" collapsed="false">
      <c r="A4" s="2" t="n">
        <v>3</v>
      </c>
      <c r="B4" s="2" t="s">
        <v>15</v>
      </c>
      <c r="C4" s="2" t="s">
        <v>16</v>
      </c>
      <c r="D4" s="2" t="s">
        <v>8</v>
      </c>
      <c r="E4" s="2" t="s">
        <v>17</v>
      </c>
      <c r="F4" s="2" t="s">
        <v>18</v>
      </c>
    </row>
    <row r="5" customFormat="false" ht="45" hidden="false" customHeight="true" outlineLevel="0" collapsed="false">
      <c r="A5" s="3" t="n">
        <v>4</v>
      </c>
      <c r="B5" s="3" t="s">
        <v>19</v>
      </c>
      <c r="C5" s="3" t="s">
        <v>7</v>
      </c>
      <c r="D5" s="3" t="s">
        <v>8</v>
      </c>
      <c r="E5" s="3" t="s">
        <v>20</v>
      </c>
      <c r="F5" s="3" t="s">
        <v>21</v>
      </c>
    </row>
    <row r="6" customFormat="false" ht="45" hidden="false" customHeight="true" outlineLevel="0" collapsed="false">
      <c r="A6" s="2" t="n">
        <v>5</v>
      </c>
      <c r="B6" s="2" t="s">
        <v>22</v>
      </c>
      <c r="C6" s="2" t="s">
        <v>12</v>
      </c>
      <c r="D6" s="2" t="s">
        <v>8</v>
      </c>
      <c r="E6" s="2" t="s">
        <v>23</v>
      </c>
      <c r="F6" s="2" t="s">
        <v>24</v>
      </c>
    </row>
    <row r="7" customFormat="false" ht="45" hidden="false" customHeight="true" outlineLevel="0" collapsed="false">
      <c r="A7" s="3" t="n">
        <v>6</v>
      </c>
      <c r="B7" s="3" t="s">
        <v>25</v>
      </c>
      <c r="C7" s="3" t="s">
        <v>7</v>
      </c>
      <c r="D7" s="3" t="s">
        <v>26</v>
      </c>
      <c r="E7" s="3" t="s">
        <v>27</v>
      </c>
      <c r="F7" s="3" t="s">
        <v>28</v>
      </c>
    </row>
    <row r="8" customFormat="false" ht="45" hidden="false" customHeight="true" outlineLevel="0" collapsed="false">
      <c r="A8" s="2" t="n">
        <v>7</v>
      </c>
      <c r="B8" s="2" t="s">
        <v>29</v>
      </c>
      <c r="C8" s="2" t="s">
        <v>16</v>
      </c>
      <c r="D8" s="2" t="s">
        <v>26</v>
      </c>
      <c r="E8" s="2" t="s">
        <v>30</v>
      </c>
      <c r="F8" s="2" t="s">
        <v>31</v>
      </c>
    </row>
    <row r="9" customFormat="false" ht="45" hidden="false" customHeight="true" outlineLevel="0" collapsed="false">
      <c r="A9" s="3" t="n">
        <v>8</v>
      </c>
      <c r="B9" s="3" t="s">
        <v>32</v>
      </c>
      <c r="C9" s="3" t="s">
        <v>12</v>
      </c>
      <c r="D9" s="3" t="s">
        <v>8</v>
      </c>
      <c r="E9" s="3" t="s">
        <v>33</v>
      </c>
      <c r="F9" s="3" t="s">
        <v>34</v>
      </c>
    </row>
    <row r="10" customFormat="false" ht="45" hidden="false" customHeight="true" outlineLevel="0" collapsed="false">
      <c r="A10" s="2" t="n">
        <v>9</v>
      </c>
      <c r="B10" s="2" t="s">
        <v>35</v>
      </c>
      <c r="C10" s="2" t="s">
        <v>7</v>
      </c>
      <c r="D10" s="2" t="s">
        <v>8</v>
      </c>
      <c r="E10" s="2" t="s">
        <v>36</v>
      </c>
      <c r="F10" s="2" t="s">
        <v>37</v>
      </c>
    </row>
    <row r="11" customFormat="false" ht="45" hidden="false" customHeight="true" outlineLevel="0" collapsed="false">
      <c r="A11" s="3" t="n">
        <v>10</v>
      </c>
      <c r="B11" s="3" t="s">
        <v>38</v>
      </c>
      <c r="C11" s="3" t="s">
        <v>16</v>
      </c>
      <c r="D11" s="3" t="s">
        <v>26</v>
      </c>
      <c r="E11" s="3" t="s">
        <v>39</v>
      </c>
      <c r="F11" s="3" t="s">
        <v>40</v>
      </c>
    </row>
    <row r="12" customFormat="false" ht="45" hidden="false" customHeight="true" outlineLevel="0" collapsed="false">
      <c r="A12" s="2" t="n">
        <v>11</v>
      </c>
      <c r="B12" s="2" t="s">
        <v>41</v>
      </c>
      <c r="C12" s="2" t="s">
        <v>7</v>
      </c>
      <c r="D12" s="2" t="s">
        <v>26</v>
      </c>
      <c r="E12" s="2" t="s">
        <v>42</v>
      </c>
      <c r="F12" s="2" t="s">
        <v>43</v>
      </c>
    </row>
    <row r="13" customFormat="false" ht="45" hidden="false" customHeight="true" outlineLevel="0" collapsed="false">
      <c r="A13" s="3" t="n">
        <v>12</v>
      </c>
      <c r="B13" s="3" t="s">
        <v>44</v>
      </c>
      <c r="C13" s="3" t="s">
        <v>12</v>
      </c>
      <c r="D13" s="3" t="s">
        <v>26</v>
      </c>
      <c r="E13" s="3" t="s">
        <v>45</v>
      </c>
      <c r="F13" s="3" t="s">
        <v>46</v>
      </c>
    </row>
    <row r="14" customFormat="false" ht="45" hidden="false" customHeight="true" outlineLevel="0" collapsed="false">
      <c r="A14" s="2" t="n">
        <v>13</v>
      </c>
      <c r="B14" s="2" t="s">
        <v>47</v>
      </c>
      <c r="C14" s="2" t="s">
        <v>7</v>
      </c>
      <c r="D14" s="2" t="s">
        <v>8</v>
      </c>
      <c r="E14" s="2" t="s">
        <v>48</v>
      </c>
      <c r="F14" s="2" t="s">
        <v>49</v>
      </c>
    </row>
    <row r="15" customFormat="false" ht="45" hidden="false" customHeight="true" outlineLevel="0" collapsed="false">
      <c r="A15" s="3" t="n">
        <v>14</v>
      </c>
      <c r="B15" s="3" t="s">
        <v>50</v>
      </c>
      <c r="C15" s="3" t="s">
        <v>16</v>
      </c>
      <c r="D15" s="3" t="s">
        <v>8</v>
      </c>
      <c r="E15" s="3" t="s">
        <v>51</v>
      </c>
      <c r="F15" s="3" t="s">
        <v>52</v>
      </c>
    </row>
    <row r="16" customFormat="false" ht="45" hidden="false" customHeight="true" outlineLevel="0" collapsed="false">
      <c r="A16" s="2" t="n">
        <v>15</v>
      </c>
      <c r="B16" s="2" t="s">
        <v>53</v>
      </c>
      <c r="C16" s="2" t="s">
        <v>12</v>
      </c>
      <c r="D16" s="2" t="s">
        <v>8</v>
      </c>
      <c r="E16" s="2" t="s">
        <v>54</v>
      </c>
      <c r="F16" s="2" t="s">
        <v>55</v>
      </c>
    </row>
    <row r="17" customFormat="false" ht="45" hidden="false" customHeight="true" outlineLevel="0" collapsed="false">
      <c r="A17" s="3" t="n">
        <v>16</v>
      </c>
      <c r="B17" s="3" t="s">
        <v>56</v>
      </c>
      <c r="C17" s="3" t="s">
        <v>7</v>
      </c>
      <c r="D17" s="3" t="s">
        <v>26</v>
      </c>
      <c r="E17" s="3" t="s">
        <v>57</v>
      </c>
      <c r="F17" s="3" t="s">
        <v>58</v>
      </c>
    </row>
    <row r="18" customFormat="false" ht="45" hidden="false" customHeight="true" outlineLevel="0" collapsed="false">
      <c r="A18" s="2" t="n">
        <v>17</v>
      </c>
      <c r="B18" s="2" t="s">
        <v>59</v>
      </c>
      <c r="C18" s="2" t="s">
        <v>16</v>
      </c>
      <c r="D18" s="2" t="s">
        <v>26</v>
      </c>
      <c r="E18" s="2" t="s">
        <v>60</v>
      </c>
      <c r="F18" s="2" t="s">
        <v>61</v>
      </c>
    </row>
    <row r="19" customFormat="false" ht="45" hidden="false" customHeight="true" outlineLevel="0" collapsed="false">
      <c r="A19" s="3" t="n">
        <v>18</v>
      </c>
      <c r="B19" s="3" t="s">
        <v>62</v>
      </c>
      <c r="C19" s="3" t="s">
        <v>12</v>
      </c>
      <c r="D19" s="3" t="s">
        <v>26</v>
      </c>
      <c r="E19" s="3" t="s">
        <v>63</v>
      </c>
      <c r="F19" s="3" t="s">
        <v>64</v>
      </c>
    </row>
    <row r="20" customFormat="false" ht="45" hidden="false" customHeight="true" outlineLevel="0" collapsed="false">
      <c r="A20" s="2" t="n">
        <v>19</v>
      </c>
      <c r="B20" s="2" t="s">
        <v>65</v>
      </c>
      <c r="C20" s="2" t="s">
        <v>7</v>
      </c>
      <c r="D20" s="2" t="s">
        <v>66</v>
      </c>
      <c r="E20" s="2" t="s">
        <v>67</v>
      </c>
      <c r="F20" s="2" t="s">
        <v>68</v>
      </c>
    </row>
    <row r="21" customFormat="false" ht="45" hidden="false" customHeight="true" outlineLevel="0" collapsed="false">
      <c r="A21" s="3" t="n">
        <v>20</v>
      </c>
      <c r="B21" s="3" t="s">
        <v>69</v>
      </c>
      <c r="C21" s="3" t="s">
        <v>16</v>
      </c>
      <c r="D21" s="3" t="s">
        <v>66</v>
      </c>
      <c r="E21" s="3" t="s">
        <v>70</v>
      </c>
      <c r="F21" s="3" t="s">
        <v>71</v>
      </c>
    </row>
    <row r="22" customFormat="false" ht="45" hidden="false" customHeight="true" outlineLevel="0" collapsed="false">
      <c r="A22" s="2" t="n">
        <v>21</v>
      </c>
      <c r="B22" s="2" t="s">
        <v>72</v>
      </c>
      <c r="C22" s="2" t="s">
        <v>7</v>
      </c>
      <c r="D22" s="2" t="s">
        <v>8</v>
      </c>
      <c r="E22" s="2" t="s">
        <v>73</v>
      </c>
      <c r="F22" s="2" t="s">
        <v>74</v>
      </c>
    </row>
    <row r="23" customFormat="false" ht="45" hidden="false" customHeight="true" outlineLevel="0" collapsed="false">
      <c r="A23" s="3" t="n">
        <v>22</v>
      </c>
      <c r="B23" s="3" t="s">
        <v>75</v>
      </c>
      <c r="C23" s="3" t="s">
        <v>12</v>
      </c>
      <c r="D23" s="3" t="s">
        <v>8</v>
      </c>
      <c r="E23" s="3" t="s">
        <v>76</v>
      </c>
      <c r="F23" s="3" t="s">
        <v>77</v>
      </c>
    </row>
    <row r="24" customFormat="false" ht="45" hidden="false" customHeight="true" outlineLevel="0" collapsed="false">
      <c r="A24" s="2" t="n">
        <v>23</v>
      </c>
      <c r="B24" s="2" t="s">
        <v>78</v>
      </c>
      <c r="C24" s="2" t="s">
        <v>16</v>
      </c>
      <c r="D24" s="2" t="s">
        <v>26</v>
      </c>
      <c r="E24" s="2" t="s">
        <v>79</v>
      </c>
      <c r="F24" s="2" t="s">
        <v>80</v>
      </c>
    </row>
    <row r="25" customFormat="false" ht="45" hidden="false" customHeight="true" outlineLevel="0" collapsed="false">
      <c r="A25" s="3" t="n">
        <v>24</v>
      </c>
      <c r="B25" s="3" t="s">
        <v>81</v>
      </c>
      <c r="C25" s="3" t="s">
        <v>7</v>
      </c>
      <c r="D25" s="3" t="s">
        <v>26</v>
      </c>
      <c r="E25" s="3" t="s">
        <v>82</v>
      </c>
      <c r="F25" s="3" t="s">
        <v>83</v>
      </c>
    </row>
    <row r="26" customFormat="false" ht="45" hidden="false" customHeight="true" outlineLevel="0" collapsed="false">
      <c r="A26" s="2" t="n">
        <v>25</v>
      </c>
      <c r="B26" s="2" t="s">
        <v>84</v>
      </c>
      <c r="C26" s="2" t="s">
        <v>12</v>
      </c>
      <c r="D26" s="2" t="s">
        <v>66</v>
      </c>
      <c r="E26" s="2" t="s">
        <v>85</v>
      </c>
      <c r="F26" s="2" t="s">
        <v>86</v>
      </c>
    </row>
    <row r="27" customFormat="false" ht="45" hidden="false" customHeight="true" outlineLevel="0" collapsed="false">
      <c r="A27" s="3" t="n">
        <v>26</v>
      </c>
      <c r="B27" s="3" t="s">
        <v>87</v>
      </c>
      <c r="C27" s="3" t="s">
        <v>7</v>
      </c>
      <c r="D27" s="3" t="s">
        <v>8</v>
      </c>
      <c r="E27" s="3" t="s">
        <v>88</v>
      </c>
      <c r="F27" s="3" t="s">
        <v>89</v>
      </c>
    </row>
    <row r="28" customFormat="false" ht="45" hidden="false" customHeight="true" outlineLevel="0" collapsed="false">
      <c r="A28" s="2" t="n">
        <v>27</v>
      </c>
      <c r="B28" s="2" t="s">
        <v>90</v>
      </c>
      <c r="C28" s="2" t="s">
        <v>16</v>
      </c>
      <c r="D28" s="2" t="s">
        <v>8</v>
      </c>
      <c r="E28" s="2" t="s">
        <v>91</v>
      </c>
      <c r="F28" s="2" t="s">
        <v>92</v>
      </c>
    </row>
    <row r="29" customFormat="false" ht="45" hidden="false" customHeight="true" outlineLevel="0" collapsed="false">
      <c r="A29" s="3" t="n">
        <v>28</v>
      </c>
      <c r="B29" s="3" t="s">
        <v>93</v>
      </c>
      <c r="C29" s="3" t="s">
        <v>7</v>
      </c>
      <c r="D29" s="3" t="s">
        <v>66</v>
      </c>
      <c r="E29" s="3" t="s">
        <v>94</v>
      </c>
      <c r="F29" s="3" t="s">
        <v>95</v>
      </c>
    </row>
    <row r="30" customFormat="false" ht="45" hidden="false" customHeight="true" outlineLevel="0" collapsed="false">
      <c r="A30" s="2" t="n">
        <v>29</v>
      </c>
      <c r="B30" s="2" t="s">
        <v>96</v>
      </c>
      <c r="C30" s="2" t="s">
        <v>12</v>
      </c>
      <c r="D30" s="2" t="s">
        <v>26</v>
      </c>
      <c r="E30" s="2" t="s">
        <v>97</v>
      </c>
      <c r="F30" s="2" t="s">
        <v>98</v>
      </c>
    </row>
    <row r="31" customFormat="false" ht="45" hidden="false" customHeight="true" outlineLevel="0" collapsed="false">
      <c r="A31" s="3" t="n">
        <v>30</v>
      </c>
      <c r="B31" s="3" t="s">
        <v>99</v>
      </c>
      <c r="C31" s="3" t="s">
        <v>7</v>
      </c>
      <c r="D31" s="3" t="s">
        <v>66</v>
      </c>
      <c r="E31" s="3" t="s">
        <v>100</v>
      </c>
      <c r="F31" s="3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  <col collapsed="false" customWidth="true" hidden="false" outlineLevel="0" max="5" min="5" style="0" width="40"/>
  </cols>
  <sheetData>
    <row r="1" customFormat="false" ht="19.5" hidden="false" customHeight="true" outlineLevel="0" collapsed="false">
      <c r="A1" s="4" t="s">
        <v>102</v>
      </c>
      <c r="B1" s="5"/>
      <c r="C1" s="5"/>
      <c r="D1" s="5"/>
      <c r="E1" s="5"/>
    </row>
    <row r="3" customFormat="false" ht="15" hidden="false" customHeight="false" outlineLevel="0" collapsed="false">
      <c r="A3" s="6" t="s">
        <v>103</v>
      </c>
      <c r="B3" s="7"/>
      <c r="C3" s="7"/>
      <c r="D3" s="7"/>
      <c r="E3" s="7"/>
    </row>
    <row r="5" customFormat="false" ht="15" hidden="false" customHeight="false" outlineLevel="0" collapsed="false">
      <c r="A5" s="8" t="s">
        <v>104</v>
      </c>
      <c r="B5" s="8" t="s">
        <v>105</v>
      </c>
      <c r="C5" s="8" t="s">
        <v>106</v>
      </c>
      <c r="D5" s="8" t="s">
        <v>107</v>
      </c>
      <c r="E5" s="8" t="s">
        <v>108</v>
      </c>
    </row>
    <row r="6" customFormat="false" ht="15" hidden="false" customHeight="false" outlineLevel="0" collapsed="false">
      <c r="A6" s="9" t="s">
        <v>109</v>
      </c>
      <c r="B6" s="10" t="n">
        <v>2000</v>
      </c>
      <c r="C6" s="11" t="n">
        <v>6.5</v>
      </c>
      <c r="D6" s="12" t="n">
        <f aca="false">IFERROR(B6/C6,0)</f>
        <v>307.692307692308</v>
      </c>
      <c r="E6" s="9" t="s">
        <v>110</v>
      </c>
    </row>
    <row r="7" customFormat="false" ht="15" hidden="false" customHeight="false" outlineLevel="0" collapsed="false">
      <c r="A7" s="9" t="s">
        <v>111</v>
      </c>
      <c r="B7" s="10" t="n">
        <v>1500</v>
      </c>
      <c r="C7" s="11" t="n">
        <v>3.2</v>
      </c>
      <c r="D7" s="12" t="n">
        <f aca="false">IFERROR(B7/C7,0)</f>
        <v>468.75</v>
      </c>
      <c r="E7" s="9" t="s">
        <v>112</v>
      </c>
    </row>
    <row r="8" customFormat="false" ht="15" hidden="false" customHeight="false" outlineLevel="0" collapsed="false">
      <c r="A8" s="9" t="s">
        <v>113</v>
      </c>
      <c r="B8" s="10" t="n">
        <v>500</v>
      </c>
      <c r="C8" s="13" t="s">
        <v>114</v>
      </c>
      <c r="D8" s="14" t="n">
        <v>700</v>
      </c>
      <c r="E8" s="9" t="s">
        <v>115</v>
      </c>
    </row>
    <row r="9" customFormat="false" ht="15" hidden="false" customHeight="false" outlineLevel="0" collapsed="false">
      <c r="A9" s="15" t="s">
        <v>116</v>
      </c>
      <c r="B9" s="16" t="n">
        <f aca="false">SUM(B6:B8)</f>
        <v>4000</v>
      </c>
    </row>
    <row r="10" customFormat="false" ht="15" hidden="false" customHeight="false" outlineLevel="0" collapsed="false">
      <c r="A10" s="15" t="s">
        <v>117</v>
      </c>
      <c r="D10" s="12" t="n">
        <f aca="false">SUM(D6:D8)</f>
        <v>1476.44230769231</v>
      </c>
    </row>
    <row r="12" customFormat="false" ht="15" hidden="false" customHeight="false" outlineLevel="0" collapsed="false">
      <c r="A12" s="6" t="s">
        <v>118</v>
      </c>
      <c r="B12" s="7"/>
      <c r="C12" s="7"/>
      <c r="D12" s="7"/>
      <c r="E12" s="7"/>
    </row>
    <row r="14" customFormat="false" ht="15" hidden="false" customHeight="false" outlineLevel="0" collapsed="false">
      <c r="A14" s="9" t="s">
        <v>119</v>
      </c>
      <c r="B14" s="12" t="n">
        <f aca="false">D10</f>
        <v>1476.44230769231</v>
      </c>
    </row>
    <row r="15" customFormat="false" ht="15" hidden="false" customHeight="false" outlineLevel="0" collapsed="false">
      <c r="A15" s="9" t="s">
        <v>120</v>
      </c>
      <c r="B15" s="17" t="n">
        <v>0.05</v>
      </c>
    </row>
    <row r="16" customFormat="false" ht="15" hidden="false" customHeight="false" outlineLevel="0" collapsed="false">
      <c r="A16" s="9" t="s">
        <v>121</v>
      </c>
      <c r="B16" s="17" t="n">
        <v>0.18</v>
      </c>
    </row>
    <row r="17" customFormat="false" ht="15" hidden="false" customHeight="false" outlineLevel="0" collapsed="false">
      <c r="A17" s="15" t="s">
        <v>122</v>
      </c>
      <c r="B17" s="12" t="n">
        <f aca="false">B14*B15</f>
        <v>73.8221153846154</v>
      </c>
    </row>
    <row r="18" customFormat="false" ht="15" hidden="false" customHeight="false" outlineLevel="0" collapsed="false">
      <c r="A18" s="15" t="s">
        <v>123</v>
      </c>
      <c r="B18" s="12" t="n">
        <f aca="false">B17*B16</f>
        <v>13.2879807692308</v>
      </c>
    </row>
    <row r="20" customFormat="false" ht="15" hidden="false" customHeight="false" outlineLevel="0" collapsed="false">
      <c r="A20" s="6" t="s">
        <v>124</v>
      </c>
      <c r="B20" s="7"/>
      <c r="C20" s="7"/>
      <c r="D20" s="7"/>
      <c r="E20" s="7"/>
    </row>
    <row r="22" customFormat="false" ht="15" hidden="false" customHeight="false" outlineLevel="0" collapsed="false">
      <c r="A22" s="9" t="s">
        <v>125</v>
      </c>
      <c r="B22" s="16" t="n">
        <f aca="false">B9</f>
        <v>4000</v>
      </c>
    </row>
    <row r="23" customFormat="false" ht="15" hidden="false" customHeight="false" outlineLevel="0" collapsed="false">
      <c r="A23" s="9" t="s">
        <v>126</v>
      </c>
      <c r="B23" s="12" t="n">
        <f aca="false">B18</f>
        <v>13.2879807692308</v>
      </c>
    </row>
    <row r="24" customFormat="false" ht="15" hidden="false" customHeight="false" outlineLevel="0" collapsed="false">
      <c r="A24" s="15" t="s">
        <v>127</v>
      </c>
      <c r="B24" s="18" t="n">
        <f aca="false">IFERROR(B22/B23,0)</f>
        <v>301.023915481747</v>
      </c>
    </row>
    <row r="26" customFormat="false" ht="15" hidden="false" customHeight="false" outlineLevel="0" collapsed="false">
      <c r="A26" s="6" t="s">
        <v>128</v>
      </c>
      <c r="B26" s="7"/>
      <c r="C26" s="7"/>
      <c r="D26" s="7"/>
      <c r="E26" s="7"/>
    </row>
    <row r="28" customFormat="false" ht="15" hidden="false" customHeight="false" outlineLevel="0" collapsed="false">
      <c r="A28" s="9" t="s">
        <v>129</v>
      </c>
      <c r="B28" s="10" t="n">
        <v>180</v>
      </c>
    </row>
    <row r="29" customFormat="false" ht="15" hidden="false" customHeight="false" outlineLevel="0" collapsed="false">
      <c r="A29" s="9" t="s">
        <v>130</v>
      </c>
      <c r="B29" s="17" t="n">
        <v>0.8</v>
      </c>
    </row>
    <row r="30" customFormat="false" ht="15" hidden="false" customHeight="false" outlineLevel="0" collapsed="false">
      <c r="A30" s="9" t="s">
        <v>131</v>
      </c>
      <c r="B30" s="17" t="n">
        <v>0.04</v>
      </c>
    </row>
    <row r="31" customFormat="false" ht="15" hidden="false" customHeight="false" outlineLevel="0" collapsed="false">
      <c r="A31" s="15" t="s">
        <v>132</v>
      </c>
      <c r="B31" s="19" t="n">
        <f aca="false">IFERROR(1/B30,0)</f>
        <v>25</v>
      </c>
    </row>
    <row r="32" customFormat="false" ht="15" hidden="false" customHeight="false" outlineLevel="0" collapsed="false">
      <c r="A32" s="15" t="s">
        <v>133</v>
      </c>
      <c r="B32" s="18" t="n">
        <f aca="false">B28*B29*B31</f>
        <v>3600</v>
      </c>
    </row>
    <row r="34" customFormat="false" ht="15" hidden="false" customHeight="false" outlineLevel="0" collapsed="false">
      <c r="A34" s="6" t="s">
        <v>134</v>
      </c>
      <c r="B34" s="7"/>
      <c r="C34" s="7"/>
      <c r="D34" s="7"/>
      <c r="E34" s="7"/>
    </row>
    <row r="36" customFormat="false" ht="15" hidden="false" customHeight="false" outlineLevel="0" collapsed="false">
      <c r="A36" s="15" t="s">
        <v>135</v>
      </c>
      <c r="B36" s="20" t="n">
        <f aca="false">IFERROR(B32/B24,0)</f>
        <v>11.9591826923077</v>
      </c>
    </row>
    <row r="37" customFormat="false" ht="15" hidden="false" customHeight="false" outlineLevel="0" collapsed="false">
      <c r="A37" s="15" t="s">
        <v>136</v>
      </c>
      <c r="B37" s="19" t="n">
        <f aca="false">IFERROR(B24/(B28*B29),0)</f>
        <v>2.09044385751213</v>
      </c>
    </row>
    <row r="39" customFormat="false" ht="15" hidden="false" customHeight="false" outlineLevel="0" collapsed="false">
      <c r="A39" s="15" t="s">
        <v>137</v>
      </c>
    </row>
    <row r="40" customFormat="false" ht="15" hidden="false" customHeight="false" outlineLevel="0" collapsed="false">
      <c r="A40" s="21" t="s">
        <v>138</v>
      </c>
      <c r="B40" s="21"/>
      <c r="C40" s="21"/>
      <c r="D40" s="21"/>
      <c r="E40" s="21"/>
    </row>
    <row r="42" customFormat="false" ht="15" hidden="false" customHeight="false" outlineLevel="0" collapsed="false">
      <c r="A42" s="15" t="s">
        <v>139</v>
      </c>
    </row>
    <row r="43" customFormat="false" ht="15" hidden="false" customHeight="false" outlineLevel="0" collapsed="false">
      <c r="A43" s="22" t="s">
        <v>140</v>
      </c>
    </row>
    <row r="44" customFormat="false" ht="15" hidden="false" customHeight="false" outlineLevel="0" collapsed="false">
      <c r="A44" s="23" t="s">
        <v>141</v>
      </c>
    </row>
  </sheetData>
  <mergeCells count="1">
    <mergeCell ref="A40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2026-08-23T00:33:51Z</dcterms:created>
  <dc:creator>openpyxl</dc:creator>
  <dc:description/>
  <dc:language>en-US</dc:language>
  <cp:lastModifiedBy/>
  <dcterms:modified xsi:type="dcterms:W3CDTF">2026-08-23T00:33:51Z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